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supuesto" sheetId="1" r:id="rId1"/>
  </sheets>
  <calcPr calcId="124519" fullCalcOnLoad="1"/>
</workbook>
</file>

<file path=xl/sharedStrings.xml><?xml version="1.0" encoding="utf-8"?>
<sst xmlns="http://schemas.openxmlformats.org/spreadsheetml/2006/main" count="67" uniqueCount="52">
  <si>
    <t>Categoría</t>
  </si>
  <si>
    <t>Ítem</t>
  </si>
  <si>
    <t>Descripción/unidad</t>
  </si>
  <si>
    <t>Costo unitario</t>
  </si>
  <si>
    <t>Cantidad</t>
  </si>
  <si>
    <t>Subtotal</t>
  </si>
  <si>
    <t>ATHAMU — Presupuesto base por obra</t>
  </si>
  <si>
    <t>Producción</t>
  </si>
  <si>
    <t>Dirección artística</t>
  </si>
  <si>
    <t>Dirección general / visión artística</t>
  </si>
  <si>
    <t>Dirección musical</t>
  </si>
  <si>
    <t>Dirección musical / arreglos</t>
  </si>
  <si>
    <t>Dirección técnica</t>
  </si>
  <si>
    <t>Diseño técnico integral</t>
  </si>
  <si>
    <t>Técnica</t>
  </si>
  <si>
    <t>Diseño de iluminación</t>
  </si>
  <si>
    <t>Programación + operación por fun.</t>
  </si>
  <si>
    <t>Diseño de sonido</t>
  </si>
  <si>
    <t>Diseño escenográfico</t>
  </si>
  <si>
    <t>Diseño, planos y ubicación</t>
  </si>
  <si>
    <t>Vestuario y caracterización</t>
  </si>
  <si>
    <t>Diseño, confección y ajustes</t>
  </si>
  <si>
    <t>Utilería y atrezo</t>
  </si>
  <si>
    <t>Confección / alquiler</t>
  </si>
  <si>
    <t>Espacio</t>
  </si>
  <si>
    <t>Alquiler de espacio</t>
  </si>
  <si>
    <t>Por función</t>
  </si>
  <si>
    <t>Adecuación técnica</t>
  </si>
  <si>
    <t>Montaje y desmontaje</t>
  </si>
  <si>
    <t>Permisos / seguros</t>
  </si>
  <si>
    <t>Seguro y certificación</t>
  </si>
  <si>
    <t>Difusión</t>
  </si>
  <si>
    <t>Fotografía y registro</t>
  </si>
  <si>
    <t>Sesión + edición</t>
  </si>
  <si>
    <t>Diseño audiovisual</t>
  </si>
  <si>
    <t>Grafismos + piezas RRSS</t>
  </si>
  <si>
    <t>Tráiler / spot audiovisual</t>
  </si>
  <si>
    <t>Producción y edición</t>
  </si>
  <si>
    <t>Prensa / mailing</t>
  </si>
  <si>
    <t>Agenda y envíos</t>
  </si>
  <si>
    <t>Administrativo</t>
  </si>
  <si>
    <t>Coordinación de producción</t>
  </si>
  <si>
    <t>Producción ejecutiva</t>
  </si>
  <si>
    <t>Logística y transportes</t>
  </si>
  <si>
    <t>Movilización elenco y equipos</t>
  </si>
  <si>
    <t>Servicios básicos / viáticos</t>
  </si>
  <si>
    <t>Haberes eventuales y viáticos</t>
  </si>
  <si>
    <t>Contaduría y administración</t>
  </si>
  <si>
    <t>Honorarios base + boletas</t>
  </si>
  <si>
    <t>Fondo</t>
  </si>
  <si>
    <t>Imprevistos</t>
  </si>
  <si>
    <t>Reserva técnica/dif/prod (8%)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</si>
</sst>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4"/>
      <color rgb="FFD4A84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1A1A"/>
        <bgColor indexed="64"/>
      </patternFill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cols>
    <col min="1" max="6" width="28.7109375" customWidth="1"/>
  </cols>
  <sheetData>
    <row r="1" spans="1:6" ht="28" customHeight="1">
      <c r="A1" s="1" t="s">
        <v>6</v>
      </c>
      <c r="B1" s="1"/>
      <c r="C1" s="1"/>
      <c r="D1" s="1"/>
      <c r="E1" s="1"/>
      <c r="F1" s="1"/>
    </row>
    <row r="2" spans="1: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>
      <c r="A3" s="3" t="s">
        <v>7</v>
      </c>
      <c r="B3" s="3" t="s">
        <v>8</v>
      </c>
      <c r="C3" s="3" t="s">
        <v>9</v>
      </c>
      <c r="D3" s="4">
        <v>180000</v>
      </c>
      <c r="E3" s="4">
        <v>1</v>
      </c>
      <c r="F3" s="4">
        <f>D3*E3</f>
        <v>0</v>
      </c>
    </row>
    <row r="4" spans="1:6">
      <c r="A4" s="3" t="s">
        <v>7</v>
      </c>
      <c r="B4" s="3" t="s">
        <v>10</v>
      </c>
      <c r="C4" s="3" t="s">
        <v>11</v>
      </c>
      <c r="D4" s="4">
        <v>150000</v>
      </c>
      <c r="E4" s="4">
        <v>1</v>
      </c>
      <c r="F4" s="4">
        <f>D4*E4</f>
        <v>0</v>
      </c>
    </row>
    <row r="5" spans="1:6">
      <c r="A5" s="3" t="s">
        <v>7</v>
      </c>
      <c r="B5" s="3" t="s">
        <v>12</v>
      </c>
      <c r="C5" s="3" t="s">
        <v>13</v>
      </c>
      <c r="D5" s="4">
        <v>120000</v>
      </c>
      <c r="E5" s="4">
        <v>1</v>
      </c>
      <c r="F5" s="4">
        <f>D5*E5</f>
        <v>0</v>
      </c>
    </row>
    <row r="7" spans="1:6">
      <c r="A7" s="3" t="s">
        <v>14</v>
      </c>
      <c r="B7" s="3" t="s">
        <v>15</v>
      </c>
      <c r="C7" s="3" t="s">
        <v>16</v>
      </c>
      <c r="D7" s="4">
        <v>120000</v>
      </c>
      <c r="E7" s="4">
        <v>1</v>
      </c>
      <c r="F7" s="4">
        <f>D7*E7</f>
        <v>0</v>
      </c>
    </row>
    <row r="8" spans="1:6">
      <c r="A8" s="3" t="s">
        <v>14</v>
      </c>
      <c r="B8" s="3" t="s">
        <v>17</v>
      </c>
      <c r="C8" s="3" t="s">
        <v>16</v>
      </c>
      <c r="D8" s="4">
        <v>90000</v>
      </c>
      <c r="E8" s="4">
        <v>1</v>
      </c>
      <c r="F8" s="4">
        <f>D8*E8</f>
        <v>0</v>
      </c>
    </row>
    <row r="9" spans="1:6">
      <c r="A9" s="3" t="s">
        <v>14</v>
      </c>
      <c r="B9" s="3" t="s">
        <v>18</v>
      </c>
      <c r="C9" s="3" t="s">
        <v>19</v>
      </c>
      <c r="D9" s="4">
        <v>180000</v>
      </c>
      <c r="E9" s="4">
        <v>1</v>
      </c>
      <c r="F9" s="4">
        <f>D9*E9</f>
        <v>0</v>
      </c>
    </row>
    <row r="10" spans="1:6">
      <c r="A10" s="3" t="s">
        <v>14</v>
      </c>
      <c r="B10" s="3" t="s">
        <v>20</v>
      </c>
      <c r="C10" s="3" t="s">
        <v>21</v>
      </c>
      <c r="D10" s="4">
        <v>220000</v>
      </c>
      <c r="E10" s="4">
        <v>1</v>
      </c>
      <c r="F10" s="4">
        <f>D10*E10</f>
        <v>0</v>
      </c>
    </row>
    <row r="11" spans="1:6">
      <c r="A11" s="3" t="s">
        <v>14</v>
      </c>
      <c r="B11" s="3" t="s">
        <v>22</v>
      </c>
      <c r="C11" s="3" t="s">
        <v>23</v>
      </c>
      <c r="D11" s="4">
        <v>100000</v>
      </c>
      <c r="E11" s="4">
        <v>1</v>
      </c>
      <c r="F11" s="4">
        <f>D11*E11</f>
        <v>0</v>
      </c>
    </row>
    <row r="13" spans="1:6">
      <c r="A13" s="3" t="s">
        <v>24</v>
      </c>
      <c r="B13" s="3" t="s">
        <v>25</v>
      </c>
      <c r="C13" s="3" t="s">
        <v>26</v>
      </c>
      <c r="D13" s="4">
        <v>600000</v>
      </c>
      <c r="E13" s="4">
        <v>1</v>
      </c>
      <c r="F13" s="4">
        <f>D13*E13</f>
        <v>0</v>
      </c>
    </row>
    <row r="14" spans="1:6">
      <c r="A14" s="3" t="s">
        <v>24</v>
      </c>
      <c r="B14" s="3" t="s">
        <v>27</v>
      </c>
      <c r="C14" s="3" t="s">
        <v>28</v>
      </c>
      <c r="D14" s="4">
        <v>180000</v>
      </c>
      <c r="E14" s="4">
        <v>1</v>
      </c>
      <c r="F14" s="4">
        <f>D14*E14</f>
        <v>0</v>
      </c>
    </row>
    <row r="15" spans="1:6">
      <c r="A15" s="3" t="s">
        <v>24</v>
      </c>
      <c r="B15" s="3" t="s">
        <v>29</v>
      </c>
      <c r="C15" s="3" t="s">
        <v>30</v>
      </c>
      <c r="D15" s="4">
        <v>80000</v>
      </c>
      <c r="E15" s="4">
        <v>1</v>
      </c>
      <c r="F15" s="4">
        <f>D15*E15</f>
        <v>0</v>
      </c>
    </row>
    <row r="17" spans="1:6">
      <c r="A17" s="3" t="s">
        <v>31</v>
      </c>
      <c r="B17" s="3" t="s">
        <v>32</v>
      </c>
      <c r="C17" s="3" t="s">
        <v>33</v>
      </c>
      <c r="D17" s="4">
        <v>120000</v>
      </c>
      <c r="E17" s="4">
        <v>1</v>
      </c>
      <c r="F17" s="4">
        <f>D17*E17</f>
        <v>0</v>
      </c>
    </row>
    <row r="18" spans="1:6">
      <c r="A18" s="3" t="s">
        <v>31</v>
      </c>
      <c r="B18" s="3" t="s">
        <v>34</v>
      </c>
      <c r="C18" s="3" t="s">
        <v>35</v>
      </c>
      <c r="D18" s="4">
        <v>160000</v>
      </c>
      <c r="E18" s="4">
        <v>1</v>
      </c>
      <c r="F18" s="4">
        <f>D18*E18</f>
        <v>0</v>
      </c>
    </row>
    <row r="19" spans="1:6">
      <c r="A19" s="3" t="s">
        <v>31</v>
      </c>
      <c r="B19" s="3" t="s">
        <v>36</v>
      </c>
      <c r="C19" s="3" t="s">
        <v>37</v>
      </c>
      <c r="D19" s="4">
        <v>250000</v>
      </c>
      <c r="E19" s="4">
        <v>1</v>
      </c>
      <c r="F19" s="4">
        <f>D19*E19</f>
        <v>0</v>
      </c>
    </row>
    <row r="20" spans="1:6">
      <c r="A20" s="3" t="s">
        <v>31</v>
      </c>
      <c r="B20" s="3" t="s">
        <v>38</v>
      </c>
      <c r="C20" s="3" t="s">
        <v>39</v>
      </c>
      <c r="D20" s="4">
        <v>90000</v>
      </c>
      <c r="E20" s="4">
        <v>1</v>
      </c>
      <c r="F20" s="4">
        <f>D20*E20</f>
        <v>0</v>
      </c>
    </row>
    <row r="22" spans="1:6">
      <c r="A22" s="3" t="s">
        <v>40</v>
      </c>
      <c r="B22" s="3" t="s">
        <v>41</v>
      </c>
      <c r="C22" s="3" t="s">
        <v>42</v>
      </c>
      <c r="D22" s="4">
        <v>170000</v>
      </c>
      <c r="E22" s="4">
        <v>1</v>
      </c>
      <c r="F22" s="4">
        <f>D22*E22</f>
        <v>0</v>
      </c>
    </row>
    <row r="23" spans="1:6">
      <c r="A23" s="3" t="s">
        <v>40</v>
      </c>
      <c r="B23" s="3" t="s">
        <v>43</v>
      </c>
      <c r="C23" s="3" t="s">
        <v>44</v>
      </c>
      <c r="D23" s="4">
        <v>150000</v>
      </c>
      <c r="E23" s="4">
        <v>1</v>
      </c>
      <c r="F23" s="4">
        <f>D23*E23</f>
        <v>0</v>
      </c>
    </row>
    <row r="24" spans="1:6">
      <c r="A24" s="3" t="s">
        <v>40</v>
      </c>
      <c r="B24" s="3" t="s">
        <v>45</v>
      </c>
      <c r="C24" s="3" t="s">
        <v>46</v>
      </c>
      <c r="D24" s="4">
        <v>120000</v>
      </c>
      <c r="E24" s="4">
        <v>1</v>
      </c>
      <c r="F24" s="4">
        <f>D24*E24</f>
        <v>0</v>
      </c>
    </row>
    <row r="25" spans="1:6">
      <c r="A25" s="3" t="s">
        <v>40</v>
      </c>
      <c r="B25" s="3" t="s">
        <v>47</v>
      </c>
      <c r="C25" s="3" t="s">
        <v>48</v>
      </c>
      <c r="D25" s="4">
        <v>110000</v>
      </c>
      <c r="E25" s="4">
        <v>1</v>
      </c>
      <c r="F25" s="4">
        <f>D25*E25</f>
        <v>0</v>
      </c>
    </row>
    <row r="27" spans="1:6">
      <c r="A27" s="3" t="s">
        <v>49</v>
      </c>
      <c r="B27" s="3" t="s">
        <v>50</v>
      </c>
      <c r="C27" s="3" t="s">
        <v>51</v>
      </c>
      <c r="D27" s="4">
        <v>180000</v>
      </c>
      <c r="E27" s="4">
        <v>1</v>
      </c>
      <c r="F27" s="4">
        <f>D27*E27</f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2026-07-17T15:42:12Z</dcterms:created>
  <dcterms:modified xsi:type="dcterms:W3CDTF">2026-07-17T15:42:12Z</dcterms:modified>
</cp:coreProperties>
</file>