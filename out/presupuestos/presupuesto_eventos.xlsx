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  <sheet name="Presupuesto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<sst xmlns="http://schemas.openxmlformats.org/spreadsheetml/2006/main" count="133" uniqueCount="34">
  <si>
    <t>Categoría</t>
  </si>
  <si>
    <t>Ítem</t>
  </si>
  <si>
    <t>Precio unitario</t>
  </si>
  <si>
    <t>Unidad</t>
  </si>
  <si>
    <t>Producción</t>
  </si>
  <si>
    <t>Producción ejecutiva</t>
  </si>
  <si>
    <t>GLB</t>
  </si>
  <si>
    <t>Coordinación general</t>
  </si>
  <si>
    <t>Técnica</t>
  </si>
  <si>
    <t>Sonido / PA</t>
  </si>
  <si>
    <t>Iluminación</t>
  </si>
  <si>
    <t>Video y pantallas</t>
  </si>
  <si>
    <t>Montaje y décor adaptable</t>
  </si>
  <si>
    <t>Vestuario/imagen pública</t>
  </si>
  <si>
    <t>Espacio</t>
  </si>
  <si>
    <t>Alquiler de espacio</t>
  </si>
  <si>
    <t>Montaje y desmontaje</t>
  </si>
  <si>
    <t>Permisos/seguros</t>
  </si>
  <si>
    <t>Difusión</t>
  </si>
  <si>
    <t>Fotografía/registro</t>
  </si>
  <si>
    <t>Diseño gráfico/RRSS</t>
  </si>
  <si>
    <t>Video aftermovie</t>
  </si>
  <si>
    <t>Prensa/mailing</t>
  </si>
  <si>
    <t>Administrativo</t>
  </si>
  <si>
    <t>Logística y transportes</t>
  </si>
  <si>
    <t>Acreditaciones/producción en vivo</t>
  </si>
  <si>
    <t>Servicios/viáticos</t>
  </si>
  <si>
    <t>Contaduría y admin.</t>
  </si>
  <si>
    <t>Fondo</t>
  </si>
  <si>
    <t>Imprevistos (10%)</t>
  </si>
  <si>
    <t>Precio ref.</t>
  </si>
  <si>
    <t>Cantidad</t>
  </si>
  <si>
    <t>Subtotal</t>
  </si>
  <si>
    <t>Nota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</si>
</sst>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164" fontId="0" fillId="0" borderId="1" xfId="0" applyNumberFormat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26.7109375" customWidth="1"/>
    <col min="2" max="2" width="32.7109375" customWidth="1"/>
    <col min="3" max="3" width="18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>
        <v>150000</v>
      </c>
      <c r="D2" s="3" t="s">
        <v>6</v>
      </c>
    </row>
    <row r="3" spans="1:4">
      <c r="A3" s="2" t="s">
        <v>4</v>
      </c>
      <c r="B3" s="2" t="s">
        <v>7</v>
      </c>
      <c r="C3" s="3">
        <v>120000</v>
      </c>
      <c r="D3" s="3" t="s">
        <v>6</v>
      </c>
    </row>
    <row r="4" spans="1:4">
      <c r="A4" s="2" t="s">
        <v>8</v>
      </c>
      <c r="B4" s="2" t="s">
        <v>9</v>
      </c>
      <c r="C4" s="3">
        <v>130000</v>
      </c>
      <c r="D4" s="3" t="s">
        <v>6</v>
      </c>
    </row>
    <row r="5" spans="1:4">
      <c r="A5" s="2" t="s">
        <v>8</v>
      </c>
      <c r="B5" s="2" t="s">
        <v>10</v>
      </c>
      <c r="C5" s="3">
        <v>110000</v>
      </c>
      <c r="D5" s="3" t="s">
        <v>6</v>
      </c>
    </row>
    <row r="6" spans="1:4">
      <c r="A6" s="2" t="s">
        <v>8</v>
      </c>
      <c r="B6" s="2" t="s">
        <v>11</v>
      </c>
      <c r="C6" s="3">
        <v>200000</v>
      </c>
      <c r="D6" s="3" t="s">
        <v>6</v>
      </c>
    </row>
    <row r="7" spans="1:4">
      <c r="A7" s="2" t="s">
        <v>8</v>
      </c>
      <c r="B7" s="2" t="s">
        <v>12</v>
      </c>
      <c r="C7" s="3">
        <v>180000</v>
      </c>
      <c r="D7" s="3" t="s">
        <v>6</v>
      </c>
    </row>
    <row r="8" spans="1:4">
      <c r="A8" s="2" t="s">
        <v>8</v>
      </c>
      <c r="B8" s="2" t="s">
        <v>13</v>
      </c>
      <c r="C8" s="3">
        <v>100000</v>
      </c>
      <c r="D8" s="3" t="s">
        <v>6</v>
      </c>
    </row>
    <row r="9" spans="1:4">
      <c r="A9" s="2" t="s">
        <v>14</v>
      </c>
      <c r="B9" s="2" t="s">
        <v>15</v>
      </c>
      <c r="C9" s="3">
        <v>900000</v>
      </c>
      <c r="D9" s="3" t="s">
        <v>6</v>
      </c>
    </row>
    <row r="10" spans="1:4">
      <c r="A10" s="2" t="s">
        <v>14</v>
      </c>
      <c r="B10" s="2" t="s">
        <v>16</v>
      </c>
      <c r="C10" s="3">
        <v>250000</v>
      </c>
      <c r="D10" s="3" t="s">
        <v>6</v>
      </c>
    </row>
    <row r="11" spans="1:4">
      <c r="A11" s="2" t="s">
        <v>14</v>
      </c>
      <c r="B11" s="2" t="s">
        <v>17</v>
      </c>
      <c r="C11" s="3">
        <v>120000</v>
      </c>
      <c r="D11" s="3" t="s">
        <v>6</v>
      </c>
    </row>
    <row r="12" spans="1:4">
      <c r="A12" s="2" t="s">
        <v>18</v>
      </c>
      <c r="B12" s="2" t="s">
        <v>19</v>
      </c>
      <c r="C12" s="3">
        <v>120000</v>
      </c>
      <c r="D12" s="3" t="s">
        <v>6</v>
      </c>
    </row>
    <row r="13" spans="1:4">
      <c r="A13" s="2" t="s">
        <v>18</v>
      </c>
      <c r="B13" s="2" t="s">
        <v>20</v>
      </c>
      <c r="C13" s="3">
        <v>140000</v>
      </c>
      <c r="D13" s="3" t="s">
        <v>6</v>
      </c>
    </row>
    <row r="14" spans="1:4">
      <c r="A14" s="2" t="s">
        <v>18</v>
      </c>
      <c r="B14" s="2" t="s">
        <v>21</v>
      </c>
      <c r="C14" s="3">
        <v>250000</v>
      </c>
      <c r="D14" s="3" t="s">
        <v>6</v>
      </c>
    </row>
    <row r="15" spans="1:4">
      <c r="A15" s="2" t="s">
        <v>18</v>
      </c>
      <c r="B15" s="2" t="s">
        <v>22</v>
      </c>
      <c r="C15" s="3">
        <v>100000</v>
      </c>
      <c r="D15" s="3" t="s">
        <v>6</v>
      </c>
    </row>
    <row r="16" spans="1:4">
      <c r="A16" s="2" t="s">
        <v>23</v>
      </c>
      <c r="B16" s="2" t="s">
        <v>24</v>
      </c>
      <c r="C16" s="3">
        <v>160000</v>
      </c>
      <c r="D16" s="3" t="s">
        <v>6</v>
      </c>
    </row>
    <row r="17" spans="1:4">
      <c r="A17" s="2" t="s">
        <v>23</v>
      </c>
      <c r="B17" s="2" t="s">
        <v>25</v>
      </c>
      <c r="C17" s="3">
        <v>120000</v>
      </c>
      <c r="D17" s="3" t="s">
        <v>6</v>
      </c>
    </row>
    <row r="18" spans="1:4">
      <c r="A18" s="2" t="s">
        <v>23</v>
      </c>
      <c r="B18" s="2" t="s">
        <v>26</v>
      </c>
      <c r="C18" s="3">
        <v>130000</v>
      </c>
      <c r="D18" s="3" t="s">
        <v>6</v>
      </c>
    </row>
    <row r="19" spans="1:4">
      <c r="A19" s="2" t="s">
        <v>23</v>
      </c>
      <c r="B19" s="2" t="s">
        <v>27</v>
      </c>
      <c r="C19" s="3">
        <v>100000</v>
      </c>
      <c r="D19" s="3" t="s">
        <v>6</v>
      </c>
    </row>
    <row r="20" spans="1:4">
      <c r="A20" s="2" t="s">
        <v>28</v>
      </c>
      <c r="B20" s="2" t="s">
        <v>29</v>
      </c>
      <c r="C20" s="3">
        <v>200000</v>
      </c>
      <c r="D20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cols>
    <col min="1" max="1" width="26.7109375" customWidth="1"/>
    <col min="2" max="2" width="32.7109375" customWidth="1"/>
    <col min="3" max="3" width="12.7109375" customWidth="1"/>
    <col min="4" max="4" width="18.7109375" customWidth="1"/>
    <col min="5" max="5" width="12.7109375" customWidth="1"/>
    <col min="6" max="6" width="18.7109375" customWidth="1"/>
    <col min="7" max="7" width="40.7109375" customWidth="1"/>
  </cols>
  <sheetData>
    <row r="1" spans="1:7">
      <c r="A1" s="1" t="s">
        <v>0</v>
      </c>
      <c r="B1" s="1" t="s">
        <v>1</v>
      </c>
      <c r="C1" s="1" t="s">
        <v>3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>
      <c r="A2" s="2" t="s">
        <v>4</v>
      </c>
      <c r="B2" s="2" t="s">
        <v>5</v>
      </c>
      <c r="C2" s="3" t="s">
        <v>6</v>
      </c>
      <c r="D2" s="3">
        <f>VLOOKUP(B2,Precios!$B$1:$C$20,2,FALSE)</f>
        <v>0</v>
      </c>
      <c r="E2" s="3">
        <v>0</v>
      </c>
      <c r="F2" s="3">
        <f>D2*E2</f>
        <v>0</v>
      </c>
      <c r="G2" s="3"/>
    </row>
    <row r="3" spans="1:7">
      <c r="A3" s="2" t="s">
        <v>4</v>
      </c>
      <c r="B3" s="2" t="s">
        <v>7</v>
      </c>
      <c r="C3" s="3" t="s">
        <v>6</v>
      </c>
      <c r="D3" s="3">
        <f>VLOOKUP(B3,Precios!$B$1:$C$20,2,FALSE)</f>
        <v>0</v>
      </c>
      <c r="E3" s="3">
        <v>0</v>
      </c>
      <c r="F3" s="3">
        <f>D3*E3</f>
        <v>0</v>
      </c>
      <c r="G3" s="3"/>
    </row>
    <row r="4" spans="1:7">
      <c r="A4" s="2" t="s">
        <v>8</v>
      </c>
      <c r="B4" s="2" t="s">
        <v>9</v>
      </c>
      <c r="C4" s="3" t="s">
        <v>6</v>
      </c>
      <c r="D4" s="3">
        <f>VLOOKUP(B4,Precios!$B$1:$C$20,2,FALSE)</f>
        <v>0</v>
      </c>
      <c r="E4" s="3">
        <v>0</v>
      </c>
      <c r="F4" s="3">
        <f>D4*E4</f>
        <v>0</v>
      </c>
      <c r="G4" s="3"/>
    </row>
    <row r="5" spans="1:7">
      <c r="A5" s="2" t="s">
        <v>8</v>
      </c>
      <c r="B5" s="2" t="s">
        <v>10</v>
      </c>
      <c r="C5" s="3" t="s">
        <v>6</v>
      </c>
      <c r="D5" s="3">
        <f>VLOOKUP(B5,Precios!$B$1:$C$20,2,FALSE)</f>
        <v>0</v>
      </c>
      <c r="E5" s="3">
        <v>0</v>
      </c>
      <c r="F5" s="3">
        <f>D5*E5</f>
        <v>0</v>
      </c>
      <c r="G5" s="3"/>
    </row>
    <row r="6" spans="1:7">
      <c r="A6" s="2" t="s">
        <v>8</v>
      </c>
      <c r="B6" s="2" t="s">
        <v>11</v>
      </c>
      <c r="C6" s="3" t="s">
        <v>6</v>
      </c>
      <c r="D6" s="3">
        <f>VLOOKUP(B6,Precios!$B$1:$C$20,2,FALSE)</f>
        <v>0</v>
      </c>
      <c r="E6" s="3">
        <v>0</v>
      </c>
      <c r="F6" s="3">
        <f>D6*E6</f>
        <v>0</v>
      </c>
      <c r="G6" s="3"/>
    </row>
    <row r="7" spans="1:7">
      <c r="A7" s="2" t="s">
        <v>8</v>
      </c>
      <c r="B7" s="2" t="s">
        <v>12</v>
      </c>
      <c r="C7" s="3" t="s">
        <v>6</v>
      </c>
      <c r="D7" s="3">
        <f>VLOOKUP(B7,Precios!$B$1:$C$20,2,FALSE)</f>
        <v>0</v>
      </c>
      <c r="E7" s="3">
        <v>0</v>
      </c>
      <c r="F7" s="3">
        <f>D7*E7</f>
        <v>0</v>
      </c>
      <c r="G7" s="3"/>
    </row>
    <row r="8" spans="1:7">
      <c r="A8" s="2" t="s">
        <v>8</v>
      </c>
      <c r="B8" s="2" t="s">
        <v>13</v>
      </c>
      <c r="C8" s="3" t="s">
        <v>6</v>
      </c>
      <c r="D8" s="3">
        <f>VLOOKUP(B8,Precios!$B$1:$C$20,2,FALSE)</f>
        <v>0</v>
      </c>
      <c r="E8" s="3">
        <v>0</v>
      </c>
      <c r="F8" s="3">
        <f>D8*E8</f>
        <v>0</v>
      </c>
      <c r="G8" s="3"/>
    </row>
    <row r="9" spans="1:7">
      <c r="A9" s="2" t="s">
        <v>14</v>
      </c>
      <c r="B9" s="2" t="s">
        <v>15</v>
      </c>
      <c r="C9" s="3" t="s">
        <v>6</v>
      </c>
      <c r="D9" s="3">
        <f>VLOOKUP(B9,Precios!$B$1:$C$20,2,FALSE)</f>
        <v>0</v>
      </c>
      <c r="E9" s="3">
        <v>0</v>
      </c>
      <c r="F9" s="3">
        <f>D9*E9</f>
        <v>0</v>
      </c>
      <c r="G9" s="3"/>
    </row>
    <row r="10" spans="1:7">
      <c r="A10" s="2" t="s">
        <v>14</v>
      </c>
      <c r="B10" s="2" t="s">
        <v>16</v>
      </c>
      <c r="C10" s="3" t="s">
        <v>6</v>
      </c>
      <c r="D10" s="3">
        <f>VLOOKUP(B10,Precios!$B$1:$C$20,2,FALSE)</f>
        <v>0</v>
      </c>
      <c r="E10" s="3">
        <v>0</v>
      </c>
      <c r="F10" s="3">
        <f>D10*E10</f>
        <v>0</v>
      </c>
      <c r="G10" s="3"/>
    </row>
    <row r="11" spans="1:7">
      <c r="A11" s="2" t="s">
        <v>14</v>
      </c>
      <c r="B11" s="2" t="s">
        <v>17</v>
      </c>
      <c r="C11" s="3" t="s">
        <v>6</v>
      </c>
      <c r="D11" s="3">
        <f>VLOOKUP(B11,Precios!$B$1:$C$20,2,FALSE)</f>
        <v>0</v>
      </c>
      <c r="E11" s="3">
        <v>0</v>
      </c>
      <c r="F11" s="3">
        <f>D11*E11</f>
        <v>0</v>
      </c>
      <c r="G11" s="3"/>
    </row>
    <row r="12" spans="1:7">
      <c r="A12" s="2" t="s">
        <v>18</v>
      </c>
      <c r="B12" s="2" t="s">
        <v>19</v>
      </c>
      <c r="C12" s="3" t="s">
        <v>6</v>
      </c>
      <c r="D12" s="3">
        <f>VLOOKUP(B12,Precios!$B$1:$C$20,2,FALSE)</f>
        <v>0</v>
      </c>
      <c r="E12" s="3">
        <v>0</v>
      </c>
      <c r="F12" s="3">
        <f>D12*E12</f>
        <v>0</v>
      </c>
      <c r="G12" s="3"/>
    </row>
    <row r="13" spans="1:7">
      <c r="A13" s="2" t="s">
        <v>18</v>
      </c>
      <c r="B13" s="2" t="s">
        <v>20</v>
      </c>
      <c r="C13" s="3" t="s">
        <v>6</v>
      </c>
      <c r="D13" s="3">
        <f>VLOOKUP(B13,Precios!$B$1:$C$20,2,FALSE)</f>
        <v>0</v>
      </c>
      <c r="E13" s="3">
        <v>0</v>
      </c>
      <c r="F13" s="3">
        <f>D13*E13</f>
        <v>0</v>
      </c>
      <c r="G13" s="3"/>
    </row>
    <row r="14" spans="1:7">
      <c r="A14" s="2" t="s">
        <v>18</v>
      </c>
      <c r="B14" s="2" t="s">
        <v>21</v>
      </c>
      <c r="C14" s="3" t="s">
        <v>6</v>
      </c>
      <c r="D14" s="3">
        <f>VLOOKUP(B14,Precios!$B$1:$C$20,2,FALSE)</f>
        <v>0</v>
      </c>
      <c r="E14" s="3">
        <v>0</v>
      </c>
      <c r="F14" s="3">
        <f>D14*E14</f>
        <v>0</v>
      </c>
      <c r="G14" s="3"/>
    </row>
    <row r="15" spans="1:7">
      <c r="A15" s="2" t="s">
        <v>18</v>
      </c>
      <c r="B15" s="2" t="s">
        <v>22</v>
      </c>
      <c r="C15" s="3" t="s">
        <v>6</v>
      </c>
      <c r="D15" s="3">
        <f>VLOOKUP(B15,Precios!$B$1:$C$20,2,FALSE)</f>
        <v>0</v>
      </c>
      <c r="E15" s="3">
        <v>0</v>
      </c>
      <c r="F15" s="3">
        <f>D15*E15</f>
        <v>0</v>
      </c>
      <c r="G15" s="3"/>
    </row>
    <row r="16" spans="1:7">
      <c r="A16" s="2" t="s">
        <v>23</v>
      </c>
      <c r="B16" s="2" t="s">
        <v>24</v>
      </c>
      <c r="C16" s="3" t="s">
        <v>6</v>
      </c>
      <c r="D16" s="3">
        <f>VLOOKUP(B16,Precios!$B$1:$C$20,2,FALSE)</f>
        <v>0</v>
      </c>
      <c r="E16" s="3">
        <v>0</v>
      </c>
      <c r="F16" s="3">
        <f>D16*E16</f>
        <v>0</v>
      </c>
      <c r="G16" s="3"/>
    </row>
    <row r="17" spans="1:7">
      <c r="A17" s="2" t="s">
        <v>23</v>
      </c>
      <c r="B17" s="2" t="s">
        <v>25</v>
      </c>
      <c r="C17" s="3" t="s">
        <v>6</v>
      </c>
      <c r="D17" s="3">
        <f>VLOOKUP(B17,Precios!$B$1:$C$20,2,FALSE)</f>
        <v>0</v>
      </c>
      <c r="E17" s="3">
        <v>0</v>
      </c>
      <c r="F17" s="3">
        <f>D17*E17</f>
        <v>0</v>
      </c>
      <c r="G17" s="3"/>
    </row>
    <row r="18" spans="1:7">
      <c r="A18" s="2" t="s">
        <v>23</v>
      </c>
      <c r="B18" s="2" t="s">
        <v>26</v>
      </c>
      <c r="C18" s="3" t="s">
        <v>6</v>
      </c>
      <c r="D18" s="3">
        <f>VLOOKUP(B18,Precios!$B$1:$C$20,2,FALSE)</f>
        <v>0</v>
      </c>
      <c r="E18" s="3">
        <v>0</v>
      </c>
      <c r="F18" s="3">
        <f>D18*E18</f>
        <v>0</v>
      </c>
      <c r="G18" s="3"/>
    </row>
    <row r="19" spans="1:7">
      <c r="A19" s="2" t="s">
        <v>23</v>
      </c>
      <c r="B19" s="2" t="s">
        <v>27</v>
      </c>
      <c r="C19" s="3" t="s">
        <v>6</v>
      </c>
      <c r="D19" s="3">
        <f>VLOOKUP(B19,Precios!$B$1:$C$20,2,FALSE)</f>
        <v>0</v>
      </c>
      <c r="E19" s="3">
        <v>0</v>
      </c>
      <c r="F19" s="3">
        <f>D19*E19</f>
        <v>0</v>
      </c>
      <c r="G19" s="3"/>
    </row>
    <row r="20" spans="1:7">
      <c r="A20" s="2" t="s">
        <v>28</v>
      </c>
      <c r="B20" s="2" t="s">
        <v>29</v>
      </c>
      <c r="C20" s="3" t="s">
        <v>6</v>
      </c>
      <c r="D20" s="3">
        <f>VLOOKUP(B20,Precios!$B$1:$C$20,2,FALSE)</f>
        <v>0</v>
      </c>
      <c r="E20" s="3">
        <v>0</v>
      </c>
      <c r="F20" s="3">
        <f>D20*E20</f>
        <v>0</v>
      </c>
      <c r="G2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8.7109375" customWidth="1"/>
    <col min="2" max="2" width="20.7109375" customWidth="1"/>
  </cols>
  <sheetData>
    <row r="1" spans="1:2">
      <c r="A1" s="1" t="s">
        <v>0</v>
      </c>
      <c r="B1" s="1" t="s">
        <v>32</v>
      </c>
    </row>
    <row r="2" spans="1:2">
      <c r="A2" s="4" t="s">
        <v>23</v>
      </c>
      <c r="B2" s="4">
        <f>SUMIF(Presupuesto!$A:$A,A2,Presupuesto!$F:$F)</f>
        <v>0</v>
      </c>
    </row>
    <row r="3" spans="1:2">
      <c r="A3" s="4" t="s">
        <v>18</v>
      </c>
      <c r="B3" s="4">
        <f>SUMIF(Presupuesto!$A:$A,A3,Presupuesto!$F:$F)</f>
        <v>0</v>
      </c>
    </row>
    <row r="4" spans="1:2">
      <c r="A4" s="4" t="s">
        <v>14</v>
      </c>
      <c r="B4" s="4">
        <f>SUMIF(Presupuesto!$A:$A,A4,Presupuesto!$F:$F)</f>
        <v>0</v>
      </c>
    </row>
    <row r="5" spans="1:2">
      <c r="A5" s="4" t="s">
        <v>28</v>
      </c>
      <c r="B5" s="4">
        <f>SUMIF(Presupuesto!$A:$A,A5,Presupuesto!$F:$F)</f>
        <v>0</v>
      </c>
    </row>
    <row r="6" spans="1:2">
      <c r="A6" s="4" t="s">
        <v>4</v>
      </c>
      <c r="B6" s="4">
        <f>SUMIF(Presupuesto!$A:$A,A6,Presupuesto!$F:$F)</f>
        <v>0</v>
      </c>
    </row>
    <row r="7" spans="1:2">
      <c r="A7" s="4" t="s">
        <v>8</v>
      </c>
      <c r="B7" s="4">
        <f>SUMIF(Presupuesto!$A:$A,A7,Presupuesto!$F:$F)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Precios</vt:lpstr>
      <vt:lpstr>Presupuesto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2026-07-17T16:58:53Z</dcterms:created>
  <dcterms:modified xsi:type="dcterms:W3CDTF">2026-07-17T16:58:53Z</dcterms:modified>
</cp:coreProperties>
</file>